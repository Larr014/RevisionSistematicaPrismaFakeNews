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CM" sheetId="1" state="visible" r:id="rId1"/>
    <sheet xmlns:r="http://schemas.openxmlformats.org/officeDocument/2006/relationships" name="IEEE" sheetId="2" state="visible" r:id="rId2"/>
    <sheet xmlns:r="http://schemas.openxmlformats.org/officeDocument/2006/relationships" name="Scholar" sheetId="3" state="visible" r:id="rId3"/>
    <sheet xmlns:r="http://schemas.openxmlformats.org/officeDocument/2006/relationships" name="Scielo" sheetId="4" state="visible" r:id="rId4"/>
    <sheet xmlns:r="http://schemas.openxmlformats.org/officeDocument/2006/relationships" name="WOS" sheetId="5" state="visible" r:id="rId5"/>
    <sheet xmlns:r="http://schemas.openxmlformats.org/officeDocument/2006/relationships" name="Scopus" sheetId="6" state="visible" r:id="rId6"/>
    <sheet xmlns:r="http://schemas.openxmlformats.org/officeDocument/2006/relationships" name="Best_Result_Summary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Arial"/>
      <family val="2"/>
      <color rgb="FF241E20"/>
      <sz val="7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wrapText="1" inden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F13" sqref="F13"/>
    </sheetView>
  </sheetViews>
  <sheetFormatPr baseColWidth="10" defaultColWidth="8.7265625" defaultRowHeight="14.5"/>
  <cols>
    <col width="13" customWidth="1" min="1" max="1"/>
    <col width="15" customWidth="1" min="2" max="3"/>
    <col width="60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Record_ID</t>
        </is>
      </c>
      <c r="B1" s="1" t="inlineStr">
        <is>
          <t>Database</t>
        </is>
      </c>
      <c r="C1" s="1" t="inlineStr">
        <is>
          <t>Search_Date</t>
        </is>
      </c>
      <c r="D1" s="1" t="inlineStr">
        <is>
          <t>Query_Used</t>
        </is>
      </c>
      <c r="E1" s="1" t="inlineStr">
        <is>
          <t>Results_Retrieved</t>
        </is>
      </c>
      <c r="F1" s="1" t="inlineStr">
        <is>
          <t>Iteration_Num</t>
        </is>
      </c>
      <c r="G1" s="1" t="inlineStr">
        <is>
          <t>Notes</t>
        </is>
      </c>
    </row>
    <row r="2">
      <c r="A2" t="inlineStr">
        <is>
          <t>ACM_01</t>
        </is>
      </c>
      <c r="B2" t="inlineStr">
        <is>
          <t>ACM</t>
        </is>
      </c>
      <c r="C2" s="2" t="n">
        <v>46116</v>
      </c>
      <c r="D2" t="inlineStr">
        <is>
          <t xml:space="preserve"> (
  "communicative intention*" OR "communication intention*" OR "rhetorical intention*" OR
  "discourse intention*" OR "author intention*"
)
AND
(
  "fake news" OR "misinformation" OR "disinformation" OR "false information" OR
  "misleading content" OR "propaganda" OR "manipulation" OR "clickbait"
)
AND
(
  detect* OR identif* OR classif* OR recogni* OR "natural language processing" OR
  NLP OR "machine learning"
)</t>
        </is>
      </c>
      <c r="E2" t="n">
        <v>125</v>
      </c>
      <c r="F2" t="n">
        <v>1</v>
      </c>
      <c r="G2" t="inlineStr">
        <is>
          <t>Buena cantidad de resultas, se continua probando el resto</t>
        </is>
      </c>
    </row>
    <row r="3">
      <c r="A3" t="inlineStr">
        <is>
          <t>ACM_02</t>
        </is>
      </c>
      <c r="B3" t="inlineStr">
        <is>
          <t>ACM</t>
        </is>
      </c>
      <c r="C3" s="2" t="n">
        <v>46116</v>
      </c>
      <c r="D3" t="inlineStr">
        <is>
          <t>(
  "communicative intention*" OR "communication intention*" OR "rhetorical intention*" OR 
  "discourse intention*" OR "author* intention*" OR "author* purpose*" OR 
  "author* goal*" OR "author* motivation*" OR "intent to deceive" OR "deceptive intent*" OR 
  "communication goal*" OR "discourse purpose*" OR "messag* intent*" OR "messag* purpose*" OR 
  intent* OR motivat* OR goal* OR purpos*
)
AND
(
  "fake news" OR "misinformation" OR "disinformation" OR "false information" OR 
  "misleading content" OR "propaganda" OR "manipulat*" OR "clickbait" OR 
  "hoax*" OR "rumor*" OR "fabricat* news" OR "unverified information" OR "fals* claim*"
)
AND
(
  detect* OR identif* OR classif* OR recogni* OR analyz* OR evaluat* OR assess* OR predict* OR 
  "natural language processing" OR NLP OR "machine learning" OR "deep learning" OR "artificial intelligence" OR AI
)</t>
        </is>
      </c>
      <c r="E3" t="n">
        <v>12095</v>
      </c>
      <c r="F3" t="n">
        <v>2</v>
      </c>
      <c r="G3" t="inlineStr">
        <is>
          <t>Muchos resultado, falta filtrado, no se puede filtrar por relevancia por complejidad de query, se opta por hacer subquery. Ademas se exportan los primeros 1.000 registros segun relevancia (acm_02), que se incorporan al corpus</t>
        </is>
      </c>
    </row>
    <row r="4">
      <c r="A4" t="inlineStr">
        <is>
          <t>ACM_03</t>
        </is>
      </c>
      <c r="B4" t="inlineStr">
        <is>
          <t>ACM</t>
        </is>
      </c>
      <c r="C4" s="2" t="n">
        <v>46116</v>
      </c>
      <c r="D4" t="inlineStr">
        <is>
          <t>communicative intention* AND ("fake news" OR misinformation OR disinformation) AND ("machine learning" OR classify* OR detect*)</t>
        </is>
      </c>
      <c r="E4" t="n">
        <v>12</v>
      </c>
      <c r="F4" t="n">
        <v>3</v>
      </c>
      <c r="G4" t="inlineStr">
        <is>
          <t>Primera sub busqueda</t>
        </is>
      </c>
    </row>
    <row r="5">
      <c r="A5" t="inlineStr">
        <is>
          <t>ACM_04</t>
        </is>
      </c>
      <c r="B5" t="inlineStr">
        <is>
          <t>ACM</t>
        </is>
      </c>
      <c r="C5" s="2" t="n">
        <v>46116</v>
      </c>
      <c r="D5" t="inlineStr">
        <is>
          <t>rhetorical intention* AND ("fake news" OR misinformation OR disinformation) AND ("machine learning" OR classify* OR detect*)</t>
        </is>
      </c>
      <c r="E5" t="n">
        <v>1</v>
      </c>
      <c r="F5" t="n">
        <v>4</v>
      </c>
      <c r="G5" t="inlineStr">
        <is>
          <t>Segunda sub busqueda</t>
        </is>
      </c>
    </row>
    <row r="6">
      <c r="A6" t="inlineStr">
        <is>
          <t>ACM_05</t>
        </is>
      </c>
      <c r="B6" t="inlineStr">
        <is>
          <t>ACM</t>
        </is>
      </c>
      <c r="C6" s="2" t="n">
        <v>46116</v>
      </c>
      <c r="D6" t="inlineStr">
        <is>
          <t>("author* intention*" OR "author* purpose*") AND ("fake news" OR misinformation OR disinformation) AND ("machine learning" OR classify* OR detect*)</t>
        </is>
      </c>
      <c r="E6" t="n">
        <v>33</v>
      </c>
      <c r="F6" t="n">
        <v>5</v>
      </c>
      <c r="G6" t="inlineStr">
        <is>
          <t>Tercera sub busqueda</t>
        </is>
      </c>
    </row>
    <row r="7">
      <c r="A7" t="inlineStr">
        <is>
          <t>ACM_06</t>
        </is>
      </c>
      <c r="B7" t="inlineStr">
        <is>
          <t>ACM</t>
        </is>
      </c>
      <c r="C7" s="2" t="n">
        <v>46116</v>
      </c>
      <c r="D7" t="inlineStr">
        <is>
          <t>("intent to deceive" OR "deceptive intent*") AND ("fake news" OR misinformation OR disinformation) AND ("machine learning" OR classify* OR detect*)</t>
        </is>
      </c>
      <c r="E7" t="n">
        <v>66</v>
      </c>
      <c r="F7" t="n">
        <v>6</v>
      </c>
      <c r="G7" t="inlineStr">
        <is>
          <t>Cuarta sub busqueda</t>
        </is>
      </c>
    </row>
    <row r="8">
      <c r="A8" t="inlineStr">
        <is>
          <t>ACM_07</t>
        </is>
      </c>
      <c r="B8" t="inlineStr">
        <is>
          <t>ACM</t>
        </is>
      </c>
      <c r="C8" s="2" t="n">
        <v>46116</v>
      </c>
      <c r="D8" t="inlineStr">
        <is>
          <t>(
  "communicative intention*" OR
  "communication intention*" OR
  "rhetorical intention*" OR
  "discourse intention*" OR
  "author intention*" OR
  "author’s intention*" OR
  "intent to deceive" OR
  "deceptive intent*" OR
  "message purpose*" OR
  "communication goal*" OR
  "author purpose*"
)
AND
(
  "fake news" OR
  "misinformation" OR
  "disinformation" OR
  "false information" OR
  "propaganda" OR
  "clickbait"
)
AND
(
  detect* OR
  identif* OR
  classif* OR
  recogni* OR
  analyz* OR
  "natural language processing" OR
  NLP OR
  "machine learning"
)</t>
        </is>
      </c>
      <c r="E8" t="n">
        <v>138</v>
      </c>
      <c r="F8" t="n">
        <v>7</v>
      </c>
      <c r="G8" t="inlineStr">
        <is>
          <t>Buena cantidad de resultados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F8" sqref="F8"/>
    </sheetView>
  </sheetViews>
  <sheetFormatPr baseColWidth="10" defaultColWidth="8.7265625" defaultRowHeight="14.5"/>
  <cols>
    <col width="13" customWidth="1" min="1" max="1"/>
    <col width="15" customWidth="1" min="2" max="3"/>
    <col width="60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Record_ID</t>
        </is>
      </c>
      <c r="B1" s="1" t="inlineStr">
        <is>
          <t>Database</t>
        </is>
      </c>
      <c r="C1" s="1" t="inlineStr">
        <is>
          <t>Search_Date</t>
        </is>
      </c>
      <c r="D1" s="1" t="inlineStr">
        <is>
          <t>Query_Used</t>
        </is>
      </c>
      <c r="E1" s="1" t="inlineStr">
        <is>
          <t>Results_Retrieved</t>
        </is>
      </c>
      <c r="F1" s="1" t="inlineStr">
        <is>
          <t>Iteration_Num</t>
        </is>
      </c>
      <c r="G1" s="1" t="inlineStr">
        <is>
          <t>Notes</t>
        </is>
      </c>
    </row>
    <row r="2">
      <c r="A2" t="inlineStr">
        <is>
          <t>IEEE_01</t>
        </is>
      </c>
      <c r="B2" t="inlineStr">
        <is>
          <t>IEEE</t>
        </is>
      </c>
      <c r="C2" s="2" t="n">
        <v>46116</v>
      </c>
      <c r="D2" t="inlineStr">
        <is>
          <t xml:space="preserve"> ("communicative intention*" OR "communication intention*" OR "rhetorical intention*" OR "discourse intention*" OR "author intention*")
AND
("fake news" OR "misinformation" OR "disinformation" OR "false information" OR "misleading content" OR "propaganda" OR "manipulation" OR "clickbait")
AND
(detect* OR identif* OR classif* OR recogni* OR "natural language processing" OR NLP OR "machine learning")</t>
        </is>
      </c>
      <c r="E2" t="n">
        <v>4</v>
      </c>
      <c r="F2" t="n">
        <v>1</v>
      </c>
      <c r="G2" t="inlineStr">
        <is>
          <t>Búsqueda inicial, pocos resultados</t>
        </is>
      </c>
    </row>
    <row r="3">
      <c r="A3" t="inlineStr">
        <is>
          <t>IEEE_02</t>
        </is>
      </c>
      <c r="B3" t="inlineStr">
        <is>
          <t>IEEE</t>
        </is>
      </c>
      <c r="C3" s="2" t="n">
        <v>46116</v>
      </c>
      <c r="D3" t="inlineStr">
        <is>
          <t>"fake news" AND intent</t>
        </is>
      </c>
      <c r="E3" t="n">
        <v>62</v>
      </c>
      <c r="F3" t="n">
        <v>2</v>
      </c>
      <c r="G3" t="inlineStr">
        <is>
          <t>Query muy general</t>
        </is>
      </c>
    </row>
    <row r="4">
      <c r="A4" t="inlineStr">
        <is>
          <t>IEEE_03</t>
        </is>
      </c>
      <c r="B4" t="inlineStr">
        <is>
          <t>IEEE</t>
        </is>
      </c>
      <c r="C4" s="2" t="n">
        <v>46116</v>
      </c>
      <c r="D4" t="inlineStr">
        <is>
          <t>fake news AND intent AND ("machine learning" OR "natural language processing" OR NLP OR detect* OR classify*)</t>
        </is>
      </c>
      <c r="E4" t="n">
        <v>50</v>
      </c>
      <c r="F4" t="n">
        <v>3</v>
      </c>
      <c r="G4" t="inlineStr">
        <is>
          <t>Se afina la busqueda</t>
        </is>
      </c>
    </row>
    <row r="5">
      <c r="A5" t="inlineStr">
        <is>
          <t>IEEE_04</t>
        </is>
      </c>
      <c r="B5" t="inlineStr">
        <is>
          <t>IEEE</t>
        </is>
      </c>
      <c r="C5" s="2" t="n">
        <v>46116</v>
      </c>
      <c r="D5" t="inlineStr">
        <is>
          <t>misinformation AND intent</t>
        </is>
      </c>
      <c r="E5" t="n">
        <v>63</v>
      </c>
      <c r="F5" t="n">
        <v>4</v>
      </c>
      <c r="G5" t="inlineStr">
        <is>
          <t>Dada lo restrictivo de las query se opta por probar con querys separadas sin tanto operador</t>
        </is>
      </c>
    </row>
    <row r="6">
      <c r="A6" t="inlineStr">
        <is>
          <t>IEEE_05</t>
        </is>
      </c>
      <c r="B6" t="inlineStr">
        <is>
          <t>IEEE</t>
        </is>
      </c>
      <c r="C6" s="2" t="n">
        <v>46116</v>
      </c>
      <c r="D6" t="inlineStr">
        <is>
          <t>disinformation AND intent</t>
        </is>
      </c>
      <c r="E6" t="n">
        <v>23</v>
      </c>
      <c r="F6" t="n">
        <v>5</v>
      </c>
      <c r="G6" t="inlineStr">
        <is>
          <t>Otra alternativa</t>
        </is>
      </c>
    </row>
    <row r="7">
      <c r="A7" t="inlineStr">
        <is>
          <t>IEEE_06</t>
        </is>
      </c>
      <c r="B7" t="inlineStr">
        <is>
          <t>IEEE</t>
        </is>
      </c>
      <c r="C7" s="2" t="n">
        <v>46116</v>
      </c>
      <c r="D7" t="inlineStr">
        <is>
          <t>fake news AND "author intention"</t>
        </is>
      </c>
      <c r="E7" t="n">
        <v>0</v>
      </c>
      <c r="F7" t="n">
        <v>6</v>
      </c>
      <c r="G7" t="inlineStr">
        <is>
          <t>No se encontro 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8.7265625" defaultRowHeight="14.5"/>
  <cols>
    <col width="13" customWidth="1" min="1" max="1"/>
    <col width="15" customWidth="1" min="2" max="3"/>
    <col width="60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Record_ID</t>
        </is>
      </c>
      <c r="B1" s="1" t="inlineStr">
        <is>
          <t>Database</t>
        </is>
      </c>
      <c r="C1" s="1" t="inlineStr">
        <is>
          <t>Search_Date</t>
        </is>
      </c>
      <c r="D1" s="1" t="inlineStr">
        <is>
          <t>Query_Used</t>
        </is>
      </c>
      <c r="E1" s="1" t="inlineStr">
        <is>
          <t>Results_Retrieved</t>
        </is>
      </c>
      <c r="F1" s="1" t="inlineStr">
        <is>
          <t>Iteration_Num</t>
        </is>
      </c>
      <c r="G1" s="1" t="inlineStr">
        <is>
          <t>Notes</t>
        </is>
      </c>
    </row>
    <row r="2">
      <c r="A2" t="inlineStr">
        <is>
          <t>Scielo_01</t>
        </is>
      </c>
      <c r="B2" t="inlineStr">
        <is>
          <t>Scholar</t>
        </is>
      </c>
      <c r="C2" s="2" t="n">
        <v>46116</v>
      </c>
      <c r="D2" t="inlineStr">
        <is>
          <t>fake news communicative intention</t>
        </is>
      </c>
      <c r="E2" t="n">
        <v>200</v>
      </c>
      <c r="F2" t="n">
        <v>1</v>
      </c>
      <c r="G2" t="inlineStr">
        <is>
          <t>Keywords utilizadas en software Harzing's Publish or Perish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topLeftCell="C1" workbookViewId="0">
      <selection activeCell="D16" sqref="D16"/>
    </sheetView>
  </sheetViews>
  <sheetFormatPr baseColWidth="10" defaultColWidth="8.7265625" defaultRowHeight="14.5"/>
  <cols>
    <col width="13" customWidth="1" min="1" max="1"/>
    <col width="15" customWidth="1" min="2" max="3"/>
    <col width="60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Record_ID</t>
        </is>
      </c>
      <c r="B1" s="1" t="inlineStr">
        <is>
          <t>Database</t>
        </is>
      </c>
      <c r="C1" s="1" t="inlineStr">
        <is>
          <t>Search_Date</t>
        </is>
      </c>
      <c r="D1" s="1" t="inlineStr">
        <is>
          <t>Query_Used</t>
        </is>
      </c>
      <c r="E1" s="1" t="inlineStr">
        <is>
          <t>Results_Retrieved</t>
        </is>
      </c>
      <c r="F1" s="1" t="inlineStr">
        <is>
          <t>Iteration_Num</t>
        </is>
      </c>
      <c r="G1" s="1" t="inlineStr">
        <is>
          <t>Notes</t>
        </is>
      </c>
    </row>
    <row r="2">
      <c r="A2" t="inlineStr">
        <is>
          <t>Scielo_01</t>
        </is>
      </c>
      <c r="B2" t="inlineStr">
        <is>
          <t>Scielo</t>
        </is>
      </c>
      <c r="C2" s="2" t="n">
        <v>46116</v>
      </c>
      <c r="D2" t="inlineStr">
        <is>
          <t>communicative AND "fake news"</t>
        </is>
      </c>
      <c r="E2" t="n">
        <v>11</v>
      </c>
      <c r="F2" t="n">
        <v>1</v>
      </c>
      <c r="G2" t="inlineStr">
        <is>
          <t>Primera Subquery de la query 1</t>
        </is>
      </c>
    </row>
    <row r="3">
      <c r="A3" t="inlineStr">
        <is>
          <t>Scielo_02</t>
        </is>
      </c>
      <c r="B3" t="inlineStr">
        <is>
          <t>Scielo</t>
        </is>
      </c>
      <c r="C3" s="2" t="n">
        <v>46116</v>
      </c>
      <c r="D3" t="inlineStr">
        <is>
          <t>intention AND misinformation</t>
        </is>
      </c>
      <c r="E3" t="n">
        <v>7</v>
      </c>
      <c r="F3" t="n">
        <v>2</v>
      </c>
      <c r="G3" t="inlineStr">
        <is>
          <t>Segunda subquery de la query 1</t>
        </is>
      </c>
    </row>
    <row r="4">
      <c r="A4" t="inlineStr">
        <is>
          <t>Scielo_03</t>
        </is>
      </c>
      <c r="B4" t="inlineStr">
        <is>
          <t>Scielo</t>
        </is>
      </c>
      <c r="C4" s="2" t="n">
        <v>46116</v>
      </c>
      <c r="D4" t="inlineStr">
        <is>
          <t>manipulation AND disinformation</t>
        </is>
      </c>
      <c r="E4" t="n">
        <v>10</v>
      </c>
      <c r="F4" t="n">
        <v>3</v>
      </c>
      <c r="G4" t="inlineStr">
        <is>
          <t>Tercera subquery de la query 1</t>
        </is>
      </c>
    </row>
    <row r="5">
      <c r="A5" t="inlineStr">
        <is>
          <t>Scielo_04</t>
        </is>
      </c>
      <c r="B5" t="inlineStr">
        <is>
          <t>Scielo</t>
        </is>
      </c>
      <c r="C5" s="2" t="n">
        <v>46116</v>
      </c>
      <c r="D5" s="3" t="inlineStr">
        <is>
          <t>discourse AND classification</t>
        </is>
      </c>
      <c r="E5" t="n">
        <v>107</v>
      </c>
      <c r="F5" t="n">
        <v>3</v>
      </c>
      <c r="G5" t="inlineStr">
        <is>
          <t>Cuarta subquery de la query 1</t>
        </is>
      </c>
    </row>
    <row r="6">
      <c r="A6" t="inlineStr">
        <is>
          <t>Scielo_05</t>
        </is>
      </c>
      <c r="B6" t="inlineStr">
        <is>
          <t>Scielo</t>
        </is>
      </c>
      <c r="C6" s="2" t="n">
        <v>46116</v>
      </c>
      <c r="D6" s="3" t="inlineStr">
        <is>
          <t>machine learning AND "fake news"</t>
        </is>
      </c>
      <c r="E6" t="n">
        <v>6</v>
      </c>
      <c r="F6" t="n">
        <v>3</v>
      </c>
      <c r="G6" t="inlineStr">
        <is>
          <t>Quinta subquery de la query 1</t>
        </is>
      </c>
    </row>
    <row r="7">
      <c r="A7" t="inlineStr">
        <is>
          <t>Scielo_06</t>
        </is>
      </c>
      <c r="B7" t="inlineStr">
        <is>
          <t>Scielo</t>
        </is>
      </c>
      <c r="C7" s="2" t="n">
        <v>46116</v>
      </c>
      <c r="D7" s="3" t="inlineStr">
        <is>
          <t>motivation AND hoax</t>
        </is>
      </c>
      <c r="E7" t="n">
        <v>0</v>
      </c>
      <c r="F7" t="n">
        <v>3</v>
      </c>
      <c r="G7" t="inlineStr">
        <is>
          <t>Primera subquery de la query 2</t>
        </is>
      </c>
    </row>
    <row r="8">
      <c r="A8" t="inlineStr">
        <is>
          <t>Scielo_07</t>
        </is>
      </c>
      <c r="B8" t="inlineStr">
        <is>
          <t>Scielo</t>
        </is>
      </c>
      <c r="C8" s="2" t="n">
        <v>46116</v>
      </c>
      <c r="D8" s="3" t="inlineStr">
        <is>
          <t>intent AND rumor</t>
        </is>
      </c>
      <c r="E8" t="n">
        <v>0</v>
      </c>
      <c r="F8" t="n">
        <v>3</v>
      </c>
      <c r="G8" t="inlineStr">
        <is>
          <t>Segunda subquery de la query 2</t>
        </is>
      </c>
    </row>
    <row r="9">
      <c r="A9" t="inlineStr">
        <is>
          <t>Scielo_08</t>
        </is>
      </c>
      <c r="B9" t="inlineStr">
        <is>
          <t>Scielo</t>
        </is>
      </c>
      <c r="C9" s="2" t="n">
        <v>46116</v>
      </c>
      <c r="D9" s="3" t="inlineStr">
        <is>
          <t>deceptive AND misinformation</t>
        </is>
      </c>
      <c r="E9" t="n">
        <v>3</v>
      </c>
      <c r="F9" t="n">
        <v>3</v>
      </c>
      <c r="G9" t="inlineStr">
        <is>
          <t>Tercera subquery de la query 2</t>
        </is>
      </c>
    </row>
    <row r="10">
      <c r="A10" t="inlineStr">
        <is>
          <t>Scielo_09</t>
        </is>
      </c>
      <c r="B10" t="inlineStr">
        <is>
          <t>Scielo</t>
        </is>
      </c>
      <c r="C10" s="2" t="n">
        <v>46116</v>
      </c>
      <c r="D10" s="4" t="inlineStr">
        <is>
          <t>(purpose OR analyze) AND fake news</t>
        </is>
      </c>
      <c r="E10" t="n">
        <v>50</v>
      </c>
      <c r="F10" t="n">
        <v>3</v>
      </c>
      <c r="G10" t="inlineStr">
        <is>
          <t>Cuarta subquery de la query 2</t>
        </is>
      </c>
    </row>
    <row r="11">
      <c r="A11" t="inlineStr">
        <is>
          <t>Scielo_10</t>
        </is>
      </c>
      <c r="B11" t="inlineStr">
        <is>
          <t>Scielo</t>
        </is>
      </c>
      <c r="C11" s="2" t="n">
        <v>46116</v>
      </c>
      <c r="D11" s="4" t="inlineStr">
        <is>
          <t>propaganda AND evaluation</t>
        </is>
      </c>
      <c r="E11" t="n">
        <v>8</v>
      </c>
      <c r="F11" t="n">
        <v>3</v>
      </c>
      <c r="G11" t="inlineStr">
        <is>
          <t>Quinta subquery de la query 2</t>
        </is>
      </c>
    </row>
    <row r="12">
      <c r="A12" t="inlineStr">
        <is>
          <t>Scielo_11</t>
        </is>
      </c>
      <c r="B12" t="inlineStr">
        <is>
          <t>Scielo</t>
        </is>
      </c>
      <c r="C12" s="2" t="n">
        <v>46116</v>
      </c>
      <c r="D12" s="3" t="inlineStr">
        <is>
          <t>purpose AND "fake news"</t>
        </is>
      </c>
      <c r="E12" t="n">
        <v>13</v>
      </c>
      <c r="F12" t="n">
        <v>3</v>
      </c>
      <c r="G12" t="inlineStr">
        <is>
          <t>Primera subquery de la query3</t>
        </is>
      </c>
    </row>
    <row r="13">
      <c r="A13" t="inlineStr">
        <is>
          <t>Scielo_12</t>
        </is>
      </c>
      <c r="B13" t="inlineStr">
        <is>
          <t>Scielo</t>
        </is>
      </c>
      <c r="C13" s="2" t="n">
        <v>46116</v>
      </c>
      <c r="D13" s="3" t="inlineStr">
        <is>
          <t>goal AND disinformation</t>
        </is>
      </c>
      <c r="E13" t="n">
        <v>5</v>
      </c>
      <c r="F13" t="n">
        <v>3</v>
      </c>
      <c r="G13" t="inlineStr">
        <is>
          <t>Segunda subquery de la query3</t>
        </is>
      </c>
    </row>
    <row r="14">
      <c r="A14" t="inlineStr">
        <is>
          <t>Scielo_13</t>
        </is>
      </c>
      <c r="B14" t="inlineStr">
        <is>
          <t>Scielo</t>
        </is>
      </c>
      <c r="C14" s="2" t="n">
        <v>46116</v>
      </c>
      <c r="D14" s="3" t="inlineStr">
        <is>
          <t>intention AND clickbait</t>
        </is>
      </c>
      <c r="E14" t="n">
        <v>0</v>
      </c>
      <c r="F14" t="n">
        <v>3</v>
      </c>
      <c r="G14" t="inlineStr">
        <is>
          <t>Tercera subquery de la query3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G4" sqref="G4"/>
    </sheetView>
  </sheetViews>
  <sheetFormatPr baseColWidth="10" defaultColWidth="8.7265625" defaultRowHeight="14.5"/>
  <cols>
    <col width="13" customWidth="1" min="1" max="1"/>
    <col width="15" customWidth="1" min="2" max="3"/>
    <col width="60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Record_ID</t>
        </is>
      </c>
      <c r="B1" s="1" t="inlineStr">
        <is>
          <t>Database</t>
        </is>
      </c>
      <c r="C1" s="1" t="inlineStr">
        <is>
          <t>Search_Date</t>
        </is>
      </c>
      <c r="D1" s="1" t="inlineStr">
        <is>
          <t>Query_Used</t>
        </is>
      </c>
      <c r="E1" s="1" t="inlineStr">
        <is>
          <t>Results_Retrieved</t>
        </is>
      </c>
      <c r="F1" s="1" t="inlineStr">
        <is>
          <t>Iteration_Num</t>
        </is>
      </c>
      <c r="G1" s="1" t="inlineStr">
        <is>
          <t>Notes</t>
        </is>
      </c>
    </row>
    <row r="2">
      <c r="A2" t="inlineStr">
        <is>
          <t>WOS_01</t>
        </is>
      </c>
      <c r="B2" t="inlineStr">
        <is>
          <t>WOS</t>
        </is>
      </c>
      <c r="C2" s="2" t="n">
        <v>46116</v>
      </c>
      <c r="D2" t="inlineStr">
        <is>
          <t xml:space="preserve"> TS=(
  (
    "communicative intention*" OR
    "communication intention*" OR
    "rhetorical intention*" OR
    "discourse intention*" OR
    "author intention*"
  )
  AND
  (
    "fake news" OR
    "misinformation" OR
    "disinformation" OR
    "false information" OR
    "misleading content" OR
    "propaganda" OR
    "manipulation" OR
    "clickbait"
  )
  AND
  (
    detect* OR
    identif* OR
    classif* OR
    recogni* OR
    "natural language processing" OR
    NLP OR
    "machine learning"
  )
)</t>
        </is>
      </c>
      <c r="E2" t="n">
        <v>5</v>
      </c>
      <c r="F2" t="n">
        <v>1</v>
      </c>
      <c r="G2" t="inlineStr">
        <is>
          <t>Búsqueda inicial, pocos resultados</t>
        </is>
      </c>
    </row>
    <row r="3">
      <c r="A3" t="inlineStr">
        <is>
          <t>WOS_02</t>
        </is>
      </c>
      <c r="B3" t="inlineStr">
        <is>
          <t>WOS</t>
        </is>
      </c>
      <c r="C3" s="2" t="n">
        <v>46117</v>
      </c>
      <c r="D3" t="inlineStr">
        <is>
          <t xml:space="preserve"> TS=(
  (
    "communicative intention*" OR "communication intention*" OR "rhetorical intention*" OR 
    "discourse intention*" OR "author* intention*" OR "author* purpose*" OR 
    "author* goal*" OR "author* motivation*" OR "intent to deceive" OR "deceptive intent*" OR 
    "communication goal*" OR "discourse purpose*" OR "messag* intent*" OR "messag* purpose*" OR 
    intent* OR motivat* OR goal* OR purpos*
  ) 
  AND 
  (
    "fake news" OR "misinformation" OR "disinformation" OR "false information" OR 
    "misleading content" OR "propaganda" OR "manipulat*" OR "clickbait" OR 
    "hoax*" OR "rumor*" OR "fabricat* news" OR "unverified information" OR "fals* claim*"
  ) 
  AND 
  (
    detect* OR identif* OR classif* OR recogni* OR analyz* OR evaluat* OR assess* OR predict* OR 
    "natural language processing" OR NLP OR "machine learning" OR "deep learning" OR "artificial intelligence" OR "AI"
  )
)</t>
        </is>
      </c>
      <c r="E3" t="n">
        <v>38364</v>
      </c>
      <c r="F3" t="n">
        <v>2</v>
      </c>
      <c r="G3" t="inlineStr">
        <is>
          <t>Muchos resultados, falta filtrar, articulos muy alejados a la tematica buscada. Se exportan segun relevancia los primeros 1.000 registros</t>
        </is>
      </c>
    </row>
    <row r="4">
      <c r="A4" t="inlineStr">
        <is>
          <t>WOS_03</t>
        </is>
      </c>
      <c r="B4" t="inlineStr">
        <is>
          <t>WOS</t>
        </is>
      </c>
      <c r="C4" s="2" t="n">
        <v>46118</v>
      </c>
      <c r="D4" t="inlineStr">
        <is>
          <t xml:space="preserve"> TS=(("communicative intention*" OR "communication intention*" OR "rhetorical intention*" OR "discourse intention*" OR "author intention*" OR "author’s intention*" OR "intent to deceive" OR "deceptive intent*" OR "message purpose*" OR "communication goal*" OR "author purpose*") AND ("fake news" OR "misinformation" OR "disinformation" OR "false information" OR "propaganda" OR "clickbait") AND (detect* OR identif* OR classif* OR recogni* OR analyz* OR "natural language processing" OR NLP OR "machine learning"))</t>
        </is>
      </c>
      <c r="E4" t="n">
        <v>21</v>
      </c>
      <c r="F4" t="n">
        <v>3</v>
      </c>
      <c r="G4" t="inlineStr">
        <is>
          <t>Se afina busqueda anterior segun a;os y tipo de disciplina</t>
        </is>
      </c>
    </row>
    <row r="5">
      <c r="A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 </t>
        </is>
      </c>
      <c r="G5" t="inlineStr">
        <is>
          <t xml:space="preserve"> </t>
        </is>
      </c>
    </row>
    <row r="6">
      <c r="A6" t="inlineStr">
        <is>
          <t xml:space="preserve"> </t>
        </is>
      </c>
    </row>
    <row r="7">
      <c r="A7" t="inlineStr">
        <is>
          <t xml:space="preserve">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topLeftCell="D1" workbookViewId="0">
      <selection activeCell="E20" sqref="E20"/>
    </sheetView>
  </sheetViews>
  <sheetFormatPr baseColWidth="10" defaultColWidth="8.7265625" defaultRowHeight="14.5"/>
  <cols>
    <col width="13" customWidth="1" min="1" max="1"/>
    <col width="15" customWidth="1" min="2" max="3"/>
    <col width="60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Record_ID</t>
        </is>
      </c>
      <c r="B1" s="1" t="inlineStr">
        <is>
          <t>Database</t>
        </is>
      </c>
      <c r="C1" s="1" t="inlineStr">
        <is>
          <t>Search_Date</t>
        </is>
      </c>
      <c r="D1" s="1" t="inlineStr">
        <is>
          <t>Query_Used</t>
        </is>
      </c>
      <c r="E1" s="1" t="inlineStr">
        <is>
          <t>Results_Retrieved</t>
        </is>
      </c>
      <c r="F1" s="1" t="inlineStr">
        <is>
          <t>Iteration_Num</t>
        </is>
      </c>
      <c r="G1" s="1" t="inlineStr">
        <is>
          <t>Notes</t>
        </is>
      </c>
    </row>
    <row r="2">
      <c r="A2" t="inlineStr">
        <is>
          <t>SCOPUS_01</t>
        </is>
      </c>
      <c r="B2" t="inlineStr">
        <is>
          <t>Scopus</t>
        </is>
      </c>
      <c r="C2" s="2" t="n">
        <v>46116</v>
      </c>
      <c r="D2" t="inlineStr">
        <is>
          <t>TITLE-ABS-KEY ( ( "communicative intention*" OR "communication intention*" OR "rhetorical intention*" OR "discourse intention*" OR "author intention*" ) AND ( "fake news" OR "misinformation" OR "disinformation" OR "false information" OR "misleading content" OR "propaganda" OR "manipulation" OR "clickbait" ) AND ( detect* OR identif* OR classif* OR recogni* OR "natural language processing" OR NLP OR "machine learning" ) )</t>
        </is>
      </c>
      <c r="E2" t="n">
        <v>18</v>
      </c>
      <c r="F2" t="n">
        <v>1</v>
      </c>
      <c r="G2" t="inlineStr">
        <is>
          <t>Búsqueda inicial, pocos resultados</t>
        </is>
      </c>
    </row>
    <row r="3">
      <c r="A3" t="inlineStr">
        <is>
          <t>SCOPUS_02</t>
        </is>
      </c>
      <c r="B3" t="inlineStr">
        <is>
          <t>Scopus</t>
        </is>
      </c>
      <c r="C3" s="2" t="n">
        <v>46117</v>
      </c>
      <c r="D3" t="inlineStr">
        <is>
          <t xml:space="preserve"> TITLE-ABS-KEY 
(
  (
    "communicative intention*" OR "communication intention*" OR "rhetorical intention*" OR 
    "discourse intention*" OR "author* intention*" OR "author* purpose*" OR 
    "author* goal*" OR "author* motivation*" OR "intent to deceive" OR "deceptive intent*" OR 
    "communication goal*" OR "discourse purpose*" OR "messag* intent*" OR "messag* purpose*" OR 
    intent* OR motivat* OR goal* OR purpos* 
  ) 
  AND 
  (
    "fake news" OR "misinformation" OR "disinformation" OR "false information" OR 
    "misleading content" OR "propaganda" OR "manipulat*" OR "clickbait" OR 
    "hoax*" OR "rumor*" OR "fabricat* news" OR "unverified information" OR "fals* claim*"
  ) 
  AND 
  (
    detect* OR identif* OR classif* OR recogni* OR analyz* OR evaluat* OR assess* OR predict* OR 
    "natural language processing" OR NLP OR "machine learning" OR "deep learning" OR "artificial intelligence" OR "AI" 
  )
)</t>
        </is>
      </c>
      <c r="E3" t="n">
        <v>53859</v>
      </c>
      <c r="F3" t="n">
        <v>2</v>
      </c>
      <c r="G3" t="inlineStr">
        <is>
          <t>Muchos resultados, falta filtrar, articulos muy alejados a la tematica buscada. Se exportan segun relevancia los primeros 1.000 registros</t>
        </is>
      </c>
    </row>
    <row r="4">
      <c r="A4" t="inlineStr">
        <is>
          <t>SCOPUS_03</t>
        </is>
      </c>
      <c r="B4" t="inlineStr">
        <is>
          <t>Scopus</t>
        </is>
      </c>
      <c r="C4" s="2" t="n">
        <v>46118</v>
      </c>
      <c r="D4" t="inlineStr">
        <is>
          <t xml:space="preserve"> TITLE-ABS-KEY(
  (
    "communicative intention*" OR "communication intention*" OR "rhetorical intention*" OR 
    "discourse intention*" OR "author intention*" OR "author’s intention*" OR 
    "intent to deceive" OR "deceptive intent*" OR "message purpose*" OR 
    "communication goal*" OR "author purpose*" 
  )
  AND 
  (
    "fake news" OR "misinformation" OR "disinformation" OR "false information" OR 
    "propaganda" OR "clickbait"
  )
  AND 
  (
    detect* OR identif* OR classif* OR recogni* OR analyz* OR "natural language processing" OR 
    NLP OR "machine learning"
  )
)
AND (
  LIMIT-TO(SUBJAREA, "COMP") OR LIMIT-TO(SUBJAREA, "SOCI") OR LIMIT-TO(SUBJAREA, "PSYC") OR 
  LIMIT-TO(SUBJAREA, "ARTS") OR LIMIT-TO(SUBJAREA, "BUSI")
)
AND (PUBYEAR &gt; 2016)</t>
        </is>
      </c>
      <c r="E4" t="n">
        <v>33</v>
      </c>
      <c r="F4" t="n">
        <v>3</v>
      </c>
      <c r="G4" t="inlineStr">
        <is>
          <t>Se afina busqueda anterior segun a;os y tipo de disciplina</t>
        </is>
      </c>
    </row>
    <row r="5">
      <c r="A5" t="inlineStr">
        <is>
          <t xml:space="preserve"> </t>
        </is>
      </c>
    </row>
    <row r="6">
      <c r="A6" t="inlineStr">
        <is>
          <t xml:space="preserve"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8" sqref="B8"/>
    </sheetView>
  </sheetViews>
  <sheetFormatPr baseColWidth="10" defaultColWidth="8.7265625" defaultRowHeight="14.5"/>
  <cols>
    <col width="15" customWidth="1" min="1" max="1"/>
    <col width="16" customWidth="1" min="2" max="2"/>
    <col width="90" customWidth="1" min="3" max="3"/>
  </cols>
  <sheetData>
    <row r="1">
      <c r="A1" s="1" t="inlineStr">
        <is>
          <t>Database</t>
        </is>
      </c>
      <c r="B1" s="1" t="inlineStr">
        <is>
          <t>Results_Retrieved</t>
        </is>
      </c>
      <c r="C1" s="5" t="inlineStr">
        <is>
          <t>Notas</t>
        </is>
      </c>
    </row>
    <row r="2">
      <c r="A2" t="inlineStr">
        <is>
          <t>Scopus</t>
        </is>
      </c>
      <c r="B2">
        <f>SUM(Scopus!E2,Scopus!E4,1000)</f>
        <v/>
      </c>
      <c r="C2" t="inlineStr">
        <is>
          <t>Iteracion 2 exportada hasta 1.000 registros por relevancia (18 + 1.000 + 33)</t>
        </is>
      </c>
    </row>
    <row r="3">
      <c r="A3" t="inlineStr">
        <is>
          <t>WOS</t>
        </is>
      </c>
      <c r="B3">
        <f>SUM(WOS!E2,WOS!E4,1000)</f>
        <v/>
      </c>
      <c r="C3" t="inlineStr">
        <is>
          <t>Iteracion 2 exportada hasta 1.000 registros por relevancia (5 + 1.000 + 21)</t>
        </is>
      </c>
    </row>
    <row r="4">
      <c r="A4" t="inlineStr">
        <is>
          <t>IEEE</t>
        </is>
      </c>
      <c r="B4">
        <f>SUM(IEEE!E2:E7)</f>
        <v/>
      </c>
    </row>
    <row r="5">
      <c r="A5" t="inlineStr">
        <is>
          <t>ACM</t>
        </is>
      </c>
      <c r="B5">
        <f>SUM(ACM!E4:E8,ACM!E2,1000)</f>
        <v/>
      </c>
      <c r="C5" t="inlineStr">
        <is>
          <t>Incluye 1.000 registros de la iteracion 2 (exceso de resultados)</t>
        </is>
      </c>
    </row>
    <row r="6">
      <c r="A6" t="inlineStr">
        <is>
          <t>Schoolar</t>
        </is>
      </c>
      <c r="B6" t="n">
        <v>200</v>
      </c>
    </row>
    <row r="7">
      <c r="A7" t="inlineStr">
        <is>
          <t>Scielo</t>
        </is>
      </c>
      <c r="B7">
        <f>SUM(Scielo!E2:E9,Scielo!E11:E14,50)</f>
        <v/>
      </c>
      <c r="C7" t="inlineStr">
        <is>
          <t>Suma registrada de las sub-busquedas; en la sub-busqueda 3 se exportaron 9 de 10 registros</t>
        </is>
      </c>
    </row>
    <row r="8">
      <c r="A8" t="inlineStr">
        <is>
          <t>Total</t>
        </is>
      </c>
      <c r="B8">
        <f>SUM(B2:B7)</f>
        <v/>
      </c>
      <c r="C8" t="inlineStr">
        <is>
          <t>Total exportado real: 4.073 registros (antes de eliminar duplicados dentro de cada base y entre bases)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2026-04-04T18:24:27Z</dcterms:created>
  <dcterms:modified xmlns:dcterms="http://purl.org/dc/terms/" xmlns:xsi="http://www.w3.org/2001/XMLSchema-instance" xsi:type="dcterms:W3CDTF">2026-10-20T13:36:11Z</dcterms:modified>
  <cp:lastModifiedBy>Luis Rojas Rubio</cp:lastModifiedBy>
</cp:coreProperties>
</file>