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uis Rojas\OneDrive\Doc\Doctorado\tarea estado del arte\OSF\Registros\"/>
    </mc:Choice>
  </mc:AlternateContent>
  <xr:revisionPtr revIDLastSave="0" documentId="13_ncr:1_{E014F6AD-B45F-4AC2-BE07-D2DBDEBBE08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CM" sheetId="6" r:id="rId1"/>
    <sheet name="IEEE" sheetId="5" r:id="rId2"/>
    <sheet name="Scholar" sheetId="10" r:id="rId3"/>
    <sheet name="Scielo" sheetId="9" r:id="rId4"/>
    <sheet name="WOS" sheetId="4" r:id="rId5"/>
    <sheet name="Scopus" sheetId="3" r:id="rId6"/>
    <sheet name="Best_Result_Summary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 s="1"/>
  <c r="B5" i="2"/>
  <c r="B4" i="2"/>
  <c r="B3" i="2"/>
  <c r="B2" i="2"/>
</calcChain>
</file>

<file path=xl/sharedStrings.xml><?xml version="1.0" encoding="utf-8"?>
<sst xmlns="http://schemas.openxmlformats.org/spreadsheetml/2006/main" count="191" uniqueCount="111">
  <si>
    <t>Record_ID</t>
  </si>
  <si>
    <t>Database</t>
  </si>
  <si>
    <t>Search_Date</t>
  </si>
  <si>
    <t>Query_Used</t>
  </si>
  <si>
    <t>Results_Retrieved</t>
  </si>
  <si>
    <t>Iteration_Num</t>
  </si>
  <si>
    <t>Notes</t>
  </si>
  <si>
    <t>SCOPUS_01</t>
  </si>
  <si>
    <t>Scopus</t>
  </si>
  <si>
    <t>Búsqueda inicial, pocos resultados</t>
  </si>
  <si>
    <t>SCOPUS_02</t>
  </si>
  <si>
    <t>SCOPUS_03</t>
  </si>
  <si>
    <t>ACM</t>
  </si>
  <si>
    <t>IEEE</t>
  </si>
  <si>
    <t xml:space="preserve"> </t>
  </si>
  <si>
    <t>TITLE-ABS-KEY ( ( "communicative intention*" OR "communication intention*" OR "rhetorical intention*" OR "discourse intention*" OR "author intention*" ) AND ( "fake news" OR "misinformation" OR "disinformation" OR "false information" OR "misleading content" OR "propaganda" OR "manipulation" OR "clickbait" ) AND ( detect* OR identif* OR classif* OR recogni* OR "natural language processing" OR NLP OR "machine learning" ) )</t>
  </si>
  <si>
    <t xml:space="preserve"> TITLE-ABS-KEY 
(
  (
    "communicative intention*" OR "communication intention*" OR "rhetorical intention*" OR 
    "discourse intention*" OR "author* intention*" OR "author* purpose*" OR 
    "author* goal*" OR "author* motivation*" OR "intent to deceive" OR "deceptive intent*" OR 
    "communication goal*" OR "discourse purpose*" OR "messag* intent*" OR "messag* purpose*" OR 
    intent* OR motivat* OR goal* OR purpos* 
  ) 
  AND 
  (
    "fake news" OR "misinformation" OR "disinformation" OR "false information" OR 
    "misleading content" OR "propaganda" OR "manipulat*" OR "clickbait" OR 
    "hoax*" OR "rumor*" OR "fabricat* news" OR "unverified information" OR "fals* claim*"
  ) 
  AND 
  (
    detect* OR identif* OR classif* OR recogni* OR analyz* OR evaluat* OR assess* OR predict* OR 
    "natural language processing" OR NLP OR "machine learning" OR "deep learning" OR "artificial intelligence" OR "AI" 
  )
)</t>
  </si>
  <si>
    <t>Se afina busqueda anterior segun a;os y tipo de disciplina</t>
  </si>
  <si>
    <t xml:space="preserve"> TITLE-ABS-KEY(
  (
    "communicative intention*" OR "communication intention*" OR "rhetorical intention*" OR 
    "discourse intention*" OR "author intention*" OR "author’s intention*" OR 
    "intent to deceive" OR "deceptive intent*" OR "message purpose*" OR 
    "communication goal*" OR "author purpose*" 
  )
  AND 
  (
    "fake news" OR "misinformation" OR "disinformation" OR "false information" OR 
    "propaganda" OR "clickbait"
  )
  AND 
  (
    detect* OR identif* OR classif* OR recogni* OR analyz* OR "natural language processing" OR 
    NLP OR "machine learning"
  )
)
AND (
  LIMIT-TO(SUBJAREA, "COMP") OR LIMIT-TO(SUBJAREA, "SOCI") OR LIMIT-TO(SUBJAREA, "PSYC") OR 
  LIMIT-TO(SUBJAREA, "ARTS") OR LIMIT-TO(SUBJAREA, "BUSI")
)
AND (PUBYEAR &gt; 2016)</t>
  </si>
  <si>
    <t xml:space="preserve"> TS=(
  (
    "communicative intention*" OR
    "communication intention*" OR
    "rhetorical intention*" OR
    "discourse intention*" OR
    "author intention*"
  )
  AND
  (
    "fake news" OR
    "misinformation" OR
    "disinformation" OR
    "false information" OR
    "misleading content" OR
    "propaganda" OR
    "manipulation" OR
    "clickbait"
  )
  AND
  (
    detect* OR
    identif* OR
    classif* OR
    recogni* OR
    "natural language processing" OR
    NLP OR
    "machine learning"
  )
)</t>
  </si>
  <si>
    <t xml:space="preserve"> TS=(
  (
    "communicative intention*" OR "communication intention*" OR "rhetorical intention*" OR 
    "discourse intention*" OR "author* intention*" OR "author* purpose*" OR 
    "author* goal*" OR "author* motivation*" OR "intent to deceive" OR "deceptive intent*" OR 
    "communication goal*" OR "discourse purpose*" OR "messag* intent*" OR "messag* purpose*" OR 
    intent* OR motivat* OR goal* OR purpos*
  ) 
  AND 
  (
    "fake news" OR "misinformation" OR "disinformation" OR "false information" OR 
    "misleading content" OR "propaganda" OR "manipulat*" OR "clickbait" OR 
    "hoax*" OR "rumor*" OR "fabricat* news" OR "unverified information" OR "fals* claim*"
  ) 
  AND 
  (
    detect* OR identif* OR classif* OR recogni* OR analyz* OR evaluat* OR assess* OR predict* OR 
    "natural language processing" OR NLP OR "machine learning" OR "deep learning" OR "artificial intelligence" OR "AI"
  )
)</t>
  </si>
  <si>
    <t xml:space="preserve"> TS=(("communicative intention*" OR "communication intention*" OR "rhetorical intention*" OR "discourse intention*" OR "author intention*" OR "author’s intention*" OR "intent to deceive" OR "deceptive intent*" OR "message purpose*" OR "communication goal*" OR "author purpose*") AND ("fake news" OR "misinformation" OR "disinformation" OR "false information" OR "propaganda" OR "clickbait") AND (detect* OR identif* OR classif* OR recogni* OR analyz* OR "natural language processing" OR NLP OR "machine learning"))</t>
  </si>
  <si>
    <t>WOS</t>
  </si>
  <si>
    <t>WOS_01</t>
  </si>
  <si>
    <t>WOS_02</t>
  </si>
  <si>
    <t>WOS_03</t>
  </si>
  <si>
    <t xml:space="preserve"> ("communicative intention*" OR "communication intention*" OR "rhetorical intention*" OR "discourse intention*" OR "author intention*")
AND
("fake news" OR "misinformation" OR "disinformation" OR "false information" OR "misleading content" OR "propaganda" OR "manipulation" OR "clickbait")
AND
(detect* OR identif* OR classif* OR recogni* OR "natural language processing" OR NLP OR "machine learning")</t>
  </si>
  <si>
    <t>"fake news" AND intent</t>
  </si>
  <si>
    <t>Query muy general</t>
  </si>
  <si>
    <t>fake news AND intent AND ("machine learning" OR "natural language processing" OR NLP OR detect* OR classify*)</t>
  </si>
  <si>
    <t>fake news AND "author intention"</t>
  </si>
  <si>
    <t>misinformation AND intent</t>
  </si>
  <si>
    <t>disinformation AND intent</t>
  </si>
  <si>
    <t>Se afina la busqueda</t>
  </si>
  <si>
    <t>Dada lo restrictivo de las query se opta por probar con querys separadas sin tanto operador</t>
  </si>
  <si>
    <t>Otra alternativa</t>
  </si>
  <si>
    <t>No se encontro resultado</t>
  </si>
  <si>
    <t>IEEE_01</t>
  </si>
  <si>
    <t>IEEE_02</t>
  </si>
  <si>
    <t>IEEE_03</t>
  </si>
  <si>
    <t>IEEE_04</t>
  </si>
  <si>
    <t>IEEE_05</t>
  </si>
  <si>
    <t>IEEE_06</t>
  </si>
  <si>
    <t xml:space="preserve"> (
  "communicative intention*" OR "communication intention*" OR "rhetorical intention*" OR
  "discourse intention*" OR "author intention*"
)
AND
(
  "fake news" OR "misinformation" OR "disinformation" OR "false information" OR
  "misleading content" OR "propaganda" OR "manipulation" OR "clickbait"
)
AND
(
  detect* OR identif* OR classif* OR recogni* OR "natural language processing" OR
  NLP OR "machine learning"
)</t>
  </si>
  <si>
    <t>Buena cantidad de resultas, se continua probando el resto</t>
  </si>
  <si>
    <t>(
  "communicative intention*" OR "communication intention*" OR "rhetorical intention*" OR 
  "discourse intention*" OR "author* intention*" OR "author* purpose*" OR 
  "author* goal*" OR "author* motivation*" OR "intent to deceive" OR "deceptive intent*" OR 
  "communication goal*" OR "discourse purpose*" OR "messag* intent*" OR "messag* purpose*" OR 
  intent* OR motivat* OR goal* OR purpos*
)
AND
(
  "fake news" OR "misinformation" OR "disinformation" OR "false information" OR 
  "misleading content" OR "propaganda" OR "manipulat*" OR "clickbait" OR 
  "hoax*" OR "rumor*" OR "fabricat* news" OR "unverified information" OR "fals* claim*"
)
AND
(
  detect* OR identif* OR classif* OR recogni* OR analyz* OR evaluat* OR assess* OR predict* OR 
  "natural language processing" OR NLP OR "machine learning" OR "deep learning" OR "artificial intelligence" OR AI
)</t>
  </si>
  <si>
    <t>Primera sub busqueda</t>
  </si>
  <si>
    <t>communicative intention* AND ("fake news" OR misinformation OR disinformation) AND ("machine learning" OR classify* OR detect*)</t>
  </si>
  <si>
    <t>rhetorical intention* AND ("fake news" OR misinformation OR disinformation) AND ("machine learning" OR classify* OR detect*)</t>
  </si>
  <si>
    <t>("intent to deceive" OR "deceptive intent*") AND ("fake news" OR misinformation OR disinformation) AND ("machine learning" OR classify* OR detect*)</t>
  </si>
  <si>
    <t>("author* intention*" OR "author* purpose*") AND ("fake news" OR misinformation OR disinformation) AND ("machine learning" OR classify* OR detect*)</t>
  </si>
  <si>
    <t>(
  "communicative intention*" OR
  "communication intention*" OR
  "rhetorical intention*" OR
  "discourse intention*" OR
  "author intention*" OR
  "author’s intention*" OR
  "intent to deceive" OR
  "deceptive intent*" OR
  "message purpose*" OR
  "communication goal*" OR
  "author purpose*"
)
AND
(
  "fake news" OR
  "misinformation" OR
  "disinformation" OR
  "false information" OR
  "propaganda" OR
  "clickbait"
)
AND
(
  detect* OR
  identif* OR
  classif* OR
  recogni* OR
  analyz* OR
  "natural language processing" OR
  NLP OR
  "machine learning"
)</t>
  </si>
  <si>
    <t>Segunda sub busqueda</t>
  </si>
  <si>
    <t>Tercera sub busqueda</t>
  </si>
  <si>
    <t>Cuarta sub busqueda</t>
  </si>
  <si>
    <t>Muchos resultado, falta filtrado, no se puede filtrar por relevancia por complejidad de query, se opta por hacer subquery</t>
  </si>
  <si>
    <t>Buena cantidad de resultados</t>
  </si>
  <si>
    <t>Schoolar</t>
  </si>
  <si>
    <t>Scielo</t>
  </si>
  <si>
    <t>Muchos resultados, falta filtrar, articulos muy alejados a la tematica buscada. Se descargan segun relevancia los primero 200</t>
  </si>
  <si>
    <t>Muchos resultados, falta filtrar, articulos muy alejados a la tematica buscada. Se descargan 200 segun relevancia</t>
  </si>
  <si>
    <t>ACM_01</t>
  </si>
  <si>
    <t>ACM_02</t>
  </si>
  <si>
    <t>ACM_03</t>
  </si>
  <si>
    <t>ACM_04</t>
  </si>
  <si>
    <t>ACM_05</t>
  </si>
  <si>
    <t>ACM_06</t>
  </si>
  <si>
    <t>ACM_07</t>
  </si>
  <si>
    <t>Primera Subquery de la query 1</t>
  </si>
  <si>
    <t>communicative AND "fake news"</t>
  </si>
  <si>
    <t>intention AND misinformation</t>
  </si>
  <si>
    <t>Primera subquery de la query 2</t>
  </si>
  <si>
    <t>Scielo_01</t>
  </si>
  <si>
    <t>Scielo_02</t>
  </si>
  <si>
    <t>Scielo_03</t>
  </si>
  <si>
    <t>Scielo_04</t>
  </si>
  <si>
    <t>Scielo_05</t>
  </si>
  <si>
    <t>Scielo_06</t>
  </si>
  <si>
    <t>Scielo_07</t>
  </si>
  <si>
    <t>Primera subquery de la query3</t>
  </si>
  <si>
    <t>Scielo_08</t>
  </si>
  <si>
    <t>Scielo_09</t>
  </si>
  <si>
    <t>Scielo_10</t>
  </si>
  <si>
    <t>Scielo_11</t>
  </si>
  <si>
    <t>Scielo_12</t>
  </si>
  <si>
    <t>Scielo_13</t>
  </si>
  <si>
    <t>fake news communicative intention</t>
  </si>
  <si>
    <t>Keywords utilizadas en software Harzing's Publish or Perish</t>
  </si>
  <si>
    <t>Scholar</t>
  </si>
  <si>
    <t>manipulation AND disinformation</t>
  </si>
  <si>
    <t>discourse AND classification</t>
  </si>
  <si>
    <t>machine learning AND "fake news"</t>
  </si>
  <si>
    <t>motivation AND hoax</t>
  </si>
  <si>
    <t>intent AND rumor</t>
  </si>
  <si>
    <t>deceptive AND misinformation</t>
  </si>
  <si>
    <t>propaganda AND evaluation</t>
  </si>
  <si>
    <t>purpose AND "fake news"</t>
  </si>
  <si>
    <t>goal AND disinformation</t>
  </si>
  <si>
    <t>intention AND clickbait</t>
  </si>
  <si>
    <t>Segunda subquery de la query 1</t>
  </si>
  <si>
    <t>Segunda subquery de la query 2</t>
  </si>
  <si>
    <t>Tercera subquery de la query 2</t>
  </si>
  <si>
    <t>Tercera subquery de la query 1</t>
  </si>
  <si>
    <t>Cuarta subquery de la query 1</t>
  </si>
  <si>
    <t>Quinta subquery de la query 1</t>
  </si>
  <si>
    <t>Cuarta subquery de la query 2</t>
  </si>
  <si>
    <t>Quinta subquery de la query 2</t>
  </si>
  <si>
    <t>Segunda subquery de la query3</t>
  </si>
  <si>
    <t>Tercera subquery de la query3</t>
  </si>
  <si>
    <t>Total</t>
  </si>
  <si>
    <t>(purpose OR analyze) AND fake news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</si>
</sst>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7"/>
      <color rgb="FF241E2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14" fontId="0" fillId="0" borderId="0" xfId="0" applyNumberFormat="1"/>
    <xf numFmtId="0" fontId="3" fillId="0" borderId="0" xfId="0" applyFont="1" applyAlignment="1">
      <alignment horizontal="left" vertical="center" wrapText="1" indent="1"/>
    </xf>
    <xf numFmtId="0" fontId="3" fillId="3" borderId="0" xfId="0" applyFont="1" applyFill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B4B82-DB88-48D5-BB06-643D3E79460F}">
  <dimension ref="A1:G8"/>
  <sheetViews>
    <sheetView tabSelected="1" workbookViewId="0">
      <selection activeCell="F13" sqref="F13"/>
    </sheetView>
  </sheetViews>
  <sheetFormatPr baseColWidth="10" defaultColWidth="8.7265625" defaultRowHeight="14.5" x14ac:dyDescent="0.35"/>
  <cols>
    <col min="1" max="1" width="13" customWidth="1"/>
    <col min="2" max="3" width="15" customWidth="1"/>
    <col min="4" max="4" width="60" customWidth="1"/>
    <col min="5" max="5" width="18" customWidth="1"/>
    <col min="6" max="6" width="16" customWidth="1"/>
    <col min="7" max="7" width="40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61</v>
      </c>
      <c r="B2" t="s">
        <v>12</v>
      </c>
      <c r="C2" s="2">
        <v>46116</v>
      </c>
      <c r="D2" t="s">
        <v>43</v>
      </c>
      <c r="E2">
        <v>125</v>
      </c>
      <c r="F2">
        <v>1</v>
      </c>
      <c r="G2" t="s">
        <v>44</v>
      </c>
    </row>
    <row r="3" spans="1:7" x14ac:dyDescent="0.35">
      <c r="A3" t="s">
        <v>62</v>
      </c>
      <c r="B3" t="s">
        <v>12</v>
      </c>
      <c r="C3" s="2">
        <v>46116</v>
      </c>
      <c r="D3" t="s">
        <v>45</v>
      </c>
      <c r="E3">
        <v>12095</v>
      </c>
      <c r="F3">
        <v>2</v>
      </c>
      <c r="G3" t="s">
        <v>55</v>
      </c>
    </row>
    <row r="4" spans="1:7" x14ac:dyDescent="0.35">
      <c r="A4" t="s">
        <v>63</v>
      </c>
      <c r="B4" t="s">
        <v>12</v>
      </c>
      <c r="C4" s="2">
        <v>46116</v>
      </c>
      <c r="D4" t="s">
        <v>47</v>
      </c>
      <c r="E4">
        <v>12</v>
      </c>
      <c r="F4">
        <v>3</v>
      </c>
      <c r="G4" t="s">
        <v>46</v>
      </c>
    </row>
    <row r="5" spans="1:7" x14ac:dyDescent="0.35">
      <c r="A5" t="s">
        <v>64</v>
      </c>
      <c r="B5" t="s">
        <v>12</v>
      </c>
      <c r="C5" s="2">
        <v>46116</v>
      </c>
      <c r="D5" t="s">
        <v>48</v>
      </c>
      <c r="E5">
        <v>1</v>
      </c>
      <c r="F5">
        <v>4</v>
      </c>
      <c r="G5" t="s">
        <v>52</v>
      </c>
    </row>
    <row r="6" spans="1:7" x14ac:dyDescent="0.35">
      <c r="A6" t="s">
        <v>65</v>
      </c>
      <c r="B6" t="s">
        <v>12</v>
      </c>
      <c r="C6" s="2">
        <v>46116</v>
      </c>
      <c r="D6" t="s">
        <v>50</v>
      </c>
      <c r="E6">
        <v>33</v>
      </c>
      <c r="F6">
        <v>5</v>
      </c>
      <c r="G6" t="s">
        <v>53</v>
      </c>
    </row>
    <row r="7" spans="1:7" x14ac:dyDescent="0.35">
      <c r="A7" t="s">
        <v>66</v>
      </c>
      <c r="B7" t="s">
        <v>12</v>
      </c>
      <c r="C7" s="2">
        <v>46116</v>
      </c>
      <c r="D7" t="s">
        <v>49</v>
      </c>
      <c r="E7">
        <v>66</v>
      </c>
      <c r="F7">
        <v>6</v>
      </c>
      <c r="G7" t="s">
        <v>54</v>
      </c>
    </row>
    <row r="8" spans="1:7" x14ac:dyDescent="0.35">
      <c r="A8" t="s">
        <v>67</v>
      </c>
      <c r="B8" t="s">
        <v>12</v>
      </c>
      <c r="C8" s="2">
        <v>46116</v>
      </c>
      <c r="D8" t="s">
        <v>51</v>
      </c>
      <c r="E8">
        <v>138</v>
      </c>
      <c r="F8">
        <v>7</v>
      </c>
      <c r="G8" t="s">
        <v>56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C6B96-1B7F-46CD-8F6A-8692E0B6BDD2}">
  <dimension ref="A1:G7"/>
  <sheetViews>
    <sheetView workbookViewId="0">
      <selection activeCell="F8" sqref="F8"/>
    </sheetView>
  </sheetViews>
  <sheetFormatPr baseColWidth="10" defaultColWidth="8.7265625" defaultRowHeight="14.5" x14ac:dyDescent="0.35"/>
  <cols>
    <col min="1" max="1" width="13" customWidth="1"/>
    <col min="2" max="3" width="15" customWidth="1"/>
    <col min="4" max="4" width="60" customWidth="1"/>
    <col min="5" max="5" width="18" customWidth="1"/>
    <col min="6" max="6" width="16" customWidth="1"/>
    <col min="7" max="7" width="40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37</v>
      </c>
      <c r="B2" t="s">
        <v>13</v>
      </c>
      <c r="C2" s="2">
        <v>46116</v>
      </c>
      <c r="D2" t="s">
        <v>26</v>
      </c>
      <c r="E2">
        <v>4</v>
      </c>
      <c r="F2">
        <v>1</v>
      </c>
      <c r="G2" t="s">
        <v>9</v>
      </c>
    </row>
    <row r="3" spans="1:7" x14ac:dyDescent="0.35">
      <c r="A3" t="s">
        <v>38</v>
      </c>
      <c r="B3" t="s">
        <v>13</v>
      </c>
      <c r="C3" s="2">
        <v>46116</v>
      </c>
      <c r="D3" t="s">
        <v>27</v>
      </c>
      <c r="E3">
        <v>62</v>
      </c>
      <c r="F3">
        <v>2</v>
      </c>
      <c r="G3" t="s">
        <v>28</v>
      </c>
    </row>
    <row r="4" spans="1:7" x14ac:dyDescent="0.35">
      <c r="A4" t="s">
        <v>39</v>
      </c>
      <c r="B4" t="s">
        <v>13</v>
      </c>
      <c r="C4" s="2">
        <v>46116</v>
      </c>
      <c r="D4" t="s">
        <v>29</v>
      </c>
      <c r="E4">
        <v>50</v>
      </c>
      <c r="F4">
        <v>3</v>
      </c>
      <c r="G4" t="s">
        <v>33</v>
      </c>
    </row>
    <row r="5" spans="1:7" x14ac:dyDescent="0.35">
      <c r="A5" t="s">
        <v>40</v>
      </c>
      <c r="B5" t="s">
        <v>13</v>
      </c>
      <c r="C5" s="2">
        <v>46116</v>
      </c>
      <c r="D5" t="s">
        <v>31</v>
      </c>
      <c r="E5">
        <v>63</v>
      </c>
      <c r="F5">
        <v>4</v>
      </c>
      <c r="G5" t="s">
        <v>34</v>
      </c>
    </row>
    <row r="6" spans="1:7" x14ac:dyDescent="0.35">
      <c r="A6" t="s">
        <v>41</v>
      </c>
      <c r="B6" t="s">
        <v>13</v>
      </c>
      <c r="C6" s="2">
        <v>46116</v>
      </c>
      <c r="D6" t="s">
        <v>32</v>
      </c>
      <c r="E6">
        <v>23</v>
      </c>
      <c r="F6">
        <v>5</v>
      </c>
      <c r="G6" t="s">
        <v>35</v>
      </c>
    </row>
    <row r="7" spans="1:7" x14ac:dyDescent="0.35">
      <c r="A7" t="s">
        <v>42</v>
      </c>
      <c r="B7" t="s">
        <v>13</v>
      </c>
      <c r="C7" s="2">
        <v>46116</v>
      </c>
      <c r="D7" t="s">
        <v>30</v>
      </c>
      <c r="E7">
        <v>0</v>
      </c>
      <c r="F7">
        <v>6</v>
      </c>
      <c r="G7" t="s">
        <v>36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83DD-242E-4025-9182-E3088C726992}">
  <dimension ref="A1:G2"/>
  <sheetViews>
    <sheetView workbookViewId="0">
      <selection activeCell="B3" sqref="B3"/>
    </sheetView>
  </sheetViews>
  <sheetFormatPr baseColWidth="10" defaultColWidth="8.7265625" defaultRowHeight="14.5" x14ac:dyDescent="0.35"/>
  <cols>
    <col min="1" max="1" width="13" customWidth="1"/>
    <col min="2" max="3" width="15" customWidth="1"/>
    <col min="4" max="4" width="60" customWidth="1"/>
    <col min="5" max="5" width="18" customWidth="1"/>
    <col min="6" max="6" width="16" customWidth="1"/>
    <col min="7" max="7" width="40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72</v>
      </c>
      <c r="B2" t="s">
        <v>88</v>
      </c>
      <c r="C2" s="2">
        <v>46116</v>
      </c>
      <c r="D2" t="s">
        <v>86</v>
      </c>
      <c r="E2">
        <v>200</v>
      </c>
      <c r="F2">
        <v>1</v>
      </c>
      <c r="G2" t="s">
        <v>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E52D8-117A-4679-91EE-733957E0C4D9}">
  <dimension ref="A1:G14"/>
  <sheetViews>
    <sheetView topLeftCell="C1" workbookViewId="0">
      <selection activeCell="D16" sqref="D16"/>
    </sheetView>
  </sheetViews>
  <sheetFormatPr baseColWidth="10" defaultColWidth="8.7265625" defaultRowHeight="14.5" x14ac:dyDescent="0.35"/>
  <cols>
    <col min="1" max="1" width="13" customWidth="1"/>
    <col min="2" max="3" width="15" customWidth="1"/>
    <col min="4" max="4" width="60" customWidth="1"/>
    <col min="5" max="5" width="18" customWidth="1"/>
    <col min="6" max="6" width="16" customWidth="1"/>
    <col min="7" max="7" width="40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72</v>
      </c>
      <c r="B2" t="s">
        <v>58</v>
      </c>
      <c r="C2" s="2">
        <v>46116</v>
      </c>
      <c r="D2" t="s">
        <v>69</v>
      </c>
      <c r="E2">
        <v>11</v>
      </c>
      <c r="F2">
        <v>1</v>
      </c>
      <c r="G2" t="s">
        <v>68</v>
      </c>
    </row>
    <row r="3" spans="1:7" x14ac:dyDescent="0.35">
      <c r="A3" t="s">
        <v>73</v>
      </c>
      <c r="B3" t="s">
        <v>58</v>
      </c>
      <c r="C3" s="2">
        <v>46116</v>
      </c>
      <c r="D3" t="s">
        <v>70</v>
      </c>
      <c r="E3">
        <v>7</v>
      </c>
      <c r="F3">
        <v>2</v>
      </c>
      <c r="G3" t="s">
        <v>99</v>
      </c>
    </row>
    <row r="4" spans="1:7" x14ac:dyDescent="0.35">
      <c r="A4" t="s">
        <v>74</v>
      </c>
      <c r="B4" t="s">
        <v>58</v>
      </c>
      <c r="C4" s="2">
        <v>46116</v>
      </c>
      <c r="D4" t="s">
        <v>89</v>
      </c>
      <c r="E4">
        <v>10</v>
      </c>
      <c r="F4">
        <v>3</v>
      </c>
      <c r="G4" t="s">
        <v>102</v>
      </c>
    </row>
    <row r="5" spans="1:7" x14ac:dyDescent="0.35">
      <c r="A5" t="s">
        <v>75</v>
      </c>
      <c r="B5" t="s">
        <v>58</v>
      </c>
      <c r="C5" s="2">
        <v>46116</v>
      </c>
      <c r="D5" s="3" t="s">
        <v>90</v>
      </c>
      <c r="E5">
        <v>107</v>
      </c>
      <c r="F5">
        <v>3</v>
      </c>
      <c r="G5" t="s">
        <v>103</v>
      </c>
    </row>
    <row r="6" spans="1:7" x14ac:dyDescent="0.35">
      <c r="A6" t="s">
        <v>76</v>
      </c>
      <c r="B6" t="s">
        <v>58</v>
      </c>
      <c r="C6" s="2">
        <v>46116</v>
      </c>
      <c r="D6" s="3" t="s">
        <v>91</v>
      </c>
      <c r="E6">
        <v>6</v>
      </c>
      <c r="F6">
        <v>3</v>
      </c>
      <c r="G6" t="s">
        <v>104</v>
      </c>
    </row>
    <row r="7" spans="1:7" x14ac:dyDescent="0.35">
      <c r="A7" t="s">
        <v>77</v>
      </c>
      <c r="B7" t="s">
        <v>58</v>
      </c>
      <c r="C7" s="2">
        <v>46116</v>
      </c>
      <c r="D7" s="3" t="s">
        <v>92</v>
      </c>
      <c r="E7">
        <v>0</v>
      </c>
      <c r="F7">
        <v>3</v>
      </c>
      <c r="G7" t="s">
        <v>71</v>
      </c>
    </row>
    <row r="8" spans="1:7" x14ac:dyDescent="0.35">
      <c r="A8" t="s">
        <v>78</v>
      </c>
      <c r="B8" t="s">
        <v>58</v>
      </c>
      <c r="C8" s="2">
        <v>46116</v>
      </c>
      <c r="D8" s="3" t="s">
        <v>93</v>
      </c>
      <c r="E8">
        <v>0</v>
      </c>
      <c r="F8">
        <v>3</v>
      </c>
      <c r="G8" t="s">
        <v>100</v>
      </c>
    </row>
    <row r="9" spans="1:7" x14ac:dyDescent="0.35">
      <c r="A9" t="s">
        <v>80</v>
      </c>
      <c r="B9" t="s">
        <v>58</v>
      </c>
      <c r="C9" s="2">
        <v>46116</v>
      </c>
      <c r="D9" s="3" t="s">
        <v>94</v>
      </c>
      <c r="E9">
        <v>3</v>
      </c>
      <c r="F9">
        <v>3</v>
      </c>
      <c r="G9" t="s">
        <v>101</v>
      </c>
    </row>
    <row r="10" spans="1:7" x14ac:dyDescent="0.35">
      <c r="A10" t="s">
        <v>81</v>
      </c>
      <c r="B10" t="s">
        <v>58</v>
      </c>
      <c r="C10" s="2">
        <v>46116</v>
      </c>
      <c r="D10" s="4" t="s">
        <v>110</v>
      </c>
      <c r="E10">
        <v>50</v>
      </c>
      <c r="F10">
        <v>3</v>
      </c>
      <c r="G10" t="s">
        <v>105</v>
      </c>
    </row>
    <row r="11" spans="1:7" x14ac:dyDescent="0.35">
      <c r="A11" t="s">
        <v>82</v>
      </c>
      <c r="B11" t="s">
        <v>58</v>
      </c>
      <c r="C11" s="2">
        <v>46116</v>
      </c>
      <c r="D11" s="4" t="s">
        <v>95</v>
      </c>
      <c r="E11">
        <v>8</v>
      </c>
      <c r="F11">
        <v>3</v>
      </c>
      <c r="G11" t="s">
        <v>106</v>
      </c>
    </row>
    <row r="12" spans="1:7" x14ac:dyDescent="0.35">
      <c r="A12" t="s">
        <v>83</v>
      </c>
      <c r="B12" t="s">
        <v>58</v>
      </c>
      <c r="C12" s="2">
        <v>46116</v>
      </c>
      <c r="D12" s="3" t="s">
        <v>96</v>
      </c>
      <c r="E12">
        <v>13</v>
      </c>
      <c r="F12">
        <v>3</v>
      </c>
      <c r="G12" t="s">
        <v>79</v>
      </c>
    </row>
    <row r="13" spans="1:7" x14ac:dyDescent="0.35">
      <c r="A13" t="s">
        <v>84</v>
      </c>
      <c r="B13" t="s">
        <v>58</v>
      </c>
      <c r="C13" s="2">
        <v>46116</v>
      </c>
      <c r="D13" s="3" t="s">
        <v>97</v>
      </c>
      <c r="E13">
        <v>5</v>
      </c>
      <c r="F13">
        <v>3</v>
      </c>
      <c r="G13" t="s">
        <v>107</v>
      </c>
    </row>
    <row r="14" spans="1:7" x14ac:dyDescent="0.35">
      <c r="A14" t="s">
        <v>85</v>
      </c>
      <c r="B14" t="s">
        <v>58</v>
      </c>
      <c r="C14" s="2">
        <v>46116</v>
      </c>
      <c r="D14" s="3" t="s">
        <v>98</v>
      </c>
      <c r="E14">
        <v>0</v>
      </c>
      <c r="F14">
        <v>3</v>
      </c>
      <c r="G14" t="s">
        <v>108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27545-230A-40F7-84FA-3B6152E28F13}">
  <dimension ref="A1:G7"/>
  <sheetViews>
    <sheetView workbookViewId="0">
      <selection activeCell="G4" sqref="G4"/>
    </sheetView>
  </sheetViews>
  <sheetFormatPr baseColWidth="10" defaultColWidth="8.7265625" defaultRowHeight="14.5" x14ac:dyDescent="0.35"/>
  <cols>
    <col min="1" max="1" width="13" customWidth="1"/>
    <col min="2" max="3" width="15" customWidth="1"/>
    <col min="4" max="4" width="60" customWidth="1"/>
    <col min="5" max="5" width="18" customWidth="1"/>
    <col min="6" max="6" width="16" customWidth="1"/>
    <col min="7" max="7" width="40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23</v>
      </c>
      <c r="B2" t="s">
        <v>22</v>
      </c>
      <c r="C2" s="2">
        <v>46116</v>
      </c>
      <c r="D2" t="s">
        <v>19</v>
      </c>
      <c r="E2">
        <v>5</v>
      </c>
      <c r="F2">
        <v>1</v>
      </c>
      <c r="G2" t="s">
        <v>9</v>
      </c>
    </row>
    <row r="3" spans="1:7" x14ac:dyDescent="0.35">
      <c r="A3" t="s">
        <v>24</v>
      </c>
      <c r="B3" t="s">
        <v>22</v>
      </c>
      <c r="C3" s="2">
        <v>46117</v>
      </c>
      <c r="D3" t="s">
        <v>20</v>
      </c>
      <c r="E3">
        <v>38364</v>
      </c>
      <c r="F3">
        <v>2</v>
      </c>
      <c r="G3" t="s">
        <v>60</v>
      </c>
    </row>
    <row r="4" spans="1:7" x14ac:dyDescent="0.35">
      <c r="A4" t="s">
        <v>25</v>
      </c>
      <c r="B4" t="s">
        <v>22</v>
      </c>
      <c r="C4" s="2">
        <v>46118</v>
      </c>
      <c r="D4" t="s">
        <v>21</v>
      </c>
      <c r="E4">
        <v>21</v>
      </c>
      <c r="F4">
        <v>3</v>
      </c>
      <c r="G4" t="s">
        <v>17</v>
      </c>
    </row>
    <row r="5" spans="1:7" x14ac:dyDescent="0.35">
      <c r="A5" t="s">
        <v>14</v>
      </c>
      <c r="E5" t="s">
        <v>14</v>
      </c>
      <c r="F5" t="s">
        <v>14</v>
      </c>
      <c r="G5" t="s">
        <v>14</v>
      </c>
    </row>
    <row r="6" spans="1:7" x14ac:dyDescent="0.35">
      <c r="A6" t="s">
        <v>14</v>
      </c>
    </row>
    <row r="7" spans="1:7" x14ac:dyDescent="0.35">
      <c r="A7" t="s">
        <v>14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90A28-8ED3-489F-AEE9-C48D47B5A35B}">
  <dimension ref="A1:G6"/>
  <sheetViews>
    <sheetView topLeftCell="D1" workbookViewId="0">
      <selection activeCell="E20" sqref="E20"/>
    </sheetView>
  </sheetViews>
  <sheetFormatPr baseColWidth="10" defaultColWidth="8.7265625" defaultRowHeight="14.5" x14ac:dyDescent="0.35"/>
  <cols>
    <col min="1" max="1" width="13" customWidth="1"/>
    <col min="2" max="3" width="15" customWidth="1"/>
    <col min="4" max="4" width="60" customWidth="1"/>
    <col min="5" max="5" width="18" customWidth="1"/>
    <col min="6" max="6" width="16" customWidth="1"/>
    <col min="7" max="7" width="40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7</v>
      </c>
      <c r="B2" t="s">
        <v>8</v>
      </c>
      <c r="C2" s="2">
        <v>46116</v>
      </c>
      <c r="D2" t="s">
        <v>15</v>
      </c>
      <c r="E2">
        <v>18</v>
      </c>
      <c r="F2">
        <v>1</v>
      </c>
      <c r="G2" t="s">
        <v>9</v>
      </c>
    </row>
    <row r="3" spans="1:7" x14ac:dyDescent="0.35">
      <c r="A3" t="s">
        <v>10</v>
      </c>
      <c r="B3" t="s">
        <v>8</v>
      </c>
      <c r="C3" s="2">
        <v>46117</v>
      </c>
      <c r="D3" t="s">
        <v>16</v>
      </c>
      <c r="E3">
        <v>53859</v>
      </c>
      <c r="F3">
        <v>2</v>
      </c>
      <c r="G3" t="s">
        <v>59</v>
      </c>
    </row>
    <row r="4" spans="1:7" x14ac:dyDescent="0.35">
      <c r="A4" t="s">
        <v>11</v>
      </c>
      <c r="B4" t="s">
        <v>8</v>
      </c>
      <c r="C4" s="2">
        <v>46118</v>
      </c>
      <c r="D4" t="s">
        <v>18</v>
      </c>
      <c r="E4">
        <v>33</v>
      </c>
      <c r="F4">
        <v>3</v>
      </c>
      <c r="G4" t="s">
        <v>17</v>
      </c>
    </row>
    <row r="5" spans="1:7" x14ac:dyDescent="0.35">
      <c r="A5" t="s">
        <v>14</v>
      </c>
    </row>
    <row r="6" spans="1:7" x14ac:dyDescent="0.35">
      <c r="A6" t="s">
        <v>14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>
      <selection activeCell="B8" sqref="B8"/>
    </sheetView>
  </sheetViews>
  <sheetFormatPr baseColWidth="10" defaultColWidth="8.7265625" defaultRowHeight="14.5" x14ac:dyDescent="0.35"/>
  <cols>
    <col min="1" max="1" width="15" customWidth="1"/>
    <col min="2" max="2" width="16" customWidth="1"/>
  </cols>
  <sheetData>
    <row r="1" spans="1:2" x14ac:dyDescent="0.35">
      <c r="A1" s="1" t="s">
        <v>1</v>
      </c>
      <c r="B1" s="1" t="s">
        <v>4</v>
      </c>
    </row>
    <row r="2" spans="1:2" x14ac:dyDescent="0.35">
      <c r="A2" t="s">
        <v>8</v>
      </c>
      <c r="B2">
        <f>SUM(Scopus!E2,Scopus!E4,200)</f>
        <v>251</v>
      </c>
    </row>
    <row r="3" spans="1:2" x14ac:dyDescent="0.35">
      <c r="A3" t="s">
        <v>22</v>
      </c>
      <c r="B3">
        <f>SUM(WOS!E2,WOS!E4,200)</f>
        <v>226</v>
      </c>
    </row>
    <row r="4" spans="1:2" x14ac:dyDescent="0.35">
      <c r="A4" t="s">
        <v>13</v>
      </c>
      <c r="B4">
        <f>SUM(IEEE!E2:E7)</f>
        <v>202</v>
      </c>
    </row>
    <row r="5" spans="1:2" x14ac:dyDescent="0.35">
      <c r="A5" t="s">
        <v>12</v>
      </c>
      <c r="B5">
        <f>SUM(ACM!E4:E8,ACM!E2)</f>
        <v>375</v>
      </c>
    </row>
    <row r="6" spans="1:2" x14ac:dyDescent="0.35">
      <c r="A6" t="s">
        <v>57</v>
      </c>
      <c r="B6">
        <v>200</v>
      </c>
    </row>
    <row r="7" spans="1:2" x14ac:dyDescent="0.35">
      <c r="A7" t="s">
        <v>58</v>
      </c>
      <c r="B7">
        <f>SUM(Scielo!E2:E9,Scielo!E11:E14,50)</f>
        <v>220</v>
      </c>
    </row>
    <row r="8" spans="1:2" x14ac:dyDescent="0.35">
      <c r="A8" t="s">
        <v>109</v>
      </c>
      <c r="B8">
        <f>SUM(B2:B7)</f>
        <v>1474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ACM</vt:lpstr>
      <vt:lpstr>IEEE</vt:lpstr>
      <vt:lpstr>Scholar</vt:lpstr>
      <vt:lpstr>Scielo</vt:lpstr>
      <vt:lpstr>WOS</vt:lpstr>
      <vt:lpstr>Scopus</vt:lpstr>
      <vt:lpstr>Best_Result_Summary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Rojas Rubio</cp:lastModifiedBy>
  <dcterms:created xsi:type="dcterms:W3CDTF">2026-04-04T18:24:27Z</dcterms:created>
  <dcterms:modified xsi:type="dcterms:W3CDTF">2026-04-13T15:45:46Z</dcterms:modified>
</cp:coreProperties>
</file>